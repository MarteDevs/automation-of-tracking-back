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dadura01\Desktop\ROY\CASETA VIGILANTE\"/>
    </mc:Choice>
  </mc:AlternateContent>
  <xr:revisionPtr revIDLastSave="0" documentId="13_ncr:1_{8A03163A-F1F2-49FA-8A4F-0BC036D9BABC}" xr6:coauthVersionLast="47" xr6:coauthVersionMax="47" xr10:uidLastSave="{00000000-0000-0000-0000-000000000000}"/>
  <bookViews>
    <workbookView xWindow="-120" yWindow="-120" windowWidth="29040" windowHeight="15720" xr2:uid="{528F2D21-4954-45BC-88EB-4E3CC2FEAA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7" i="1" l="1"/>
  <c r="G55" i="1"/>
  <c r="G53" i="1"/>
  <c r="G51" i="1"/>
  <c r="G49" i="1"/>
  <c r="G47" i="1"/>
  <c r="G43" i="1"/>
  <c r="H43" i="1"/>
  <c r="G23" i="1"/>
  <c r="H23" i="1" s="1"/>
  <c r="G18" i="1"/>
  <c r="H18" i="1" s="1"/>
  <c r="G22" i="1"/>
  <c r="G21" i="1"/>
  <c r="G20" i="1"/>
  <c r="H20" i="1"/>
  <c r="H21" i="1"/>
  <c r="H22" i="1"/>
  <c r="H24" i="1"/>
  <c r="H25" i="1"/>
  <c r="H26" i="1"/>
  <c r="H27" i="1"/>
  <c r="H17" i="1"/>
  <c r="G19" i="1"/>
  <c r="H19" i="1" s="1"/>
  <c r="H37" i="1" l="1"/>
  <c r="H36" i="1"/>
  <c r="H28" i="1"/>
  <c r="H38" i="1" l="1"/>
  <c r="H44" i="1" l="1"/>
</calcChain>
</file>

<file path=xl/sharedStrings.xml><?xml version="1.0" encoding="utf-8"?>
<sst xmlns="http://schemas.openxmlformats.org/spreadsheetml/2006/main" count="67" uniqueCount="42">
  <si>
    <t xml:space="preserve">PRESUPUESTO COMPLETO CON COTIZACIÓN </t>
  </si>
  <si>
    <r>
      <t xml:space="preserve">SEÑOR (ES)    </t>
    </r>
    <r>
      <rPr>
        <b/>
        <sz val="10"/>
        <color rgb="FF000000"/>
        <rFont val="Century Gothic"/>
        <family val="2"/>
      </rPr>
      <t xml:space="preserve"> </t>
    </r>
    <r>
      <rPr>
        <b/>
        <sz val="11"/>
        <color rgb="FF000000"/>
        <rFont val="Century Gothic"/>
        <family val="2"/>
      </rPr>
      <t xml:space="preserve"> </t>
    </r>
    <r>
      <rPr>
        <b/>
        <sz val="10"/>
        <color rgb="FF000000"/>
        <rFont val="Century Gothic"/>
        <family val="2"/>
      </rPr>
      <t xml:space="preserve"> </t>
    </r>
    <r>
      <rPr>
        <b/>
        <sz val="11"/>
        <color rgb="FF000000"/>
        <rFont val="Century Gothic"/>
        <family val="2"/>
      </rPr>
      <t>:</t>
    </r>
  </si>
  <si>
    <t>VÁLIDO HASTA        :</t>
  </si>
  <si>
    <t>Soles</t>
  </si>
  <si>
    <t>R.U.C. / D.N.I.   :</t>
  </si>
  <si>
    <t>TIEMP. EJECUCIÓN  :</t>
  </si>
  <si>
    <t>DESCRIPCIÓN</t>
  </si>
  <si>
    <t>CANT.</t>
  </si>
  <si>
    <t>U.M.</t>
  </si>
  <si>
    <t>PRECIO UNITARIO</t>
  </si>
  <si>
    <t>TOTAL</t>
  </si>
  <si>
    <t>UND</t>
  </si>
  <si>
    <t>SUBTOTAL</t>
  </si>
  <si>
    <t>MANO DE OBRA:</t>
  </si>
  <si>
    <t>DIAS</t>
  </si>
  <si>
    <t>HERRAMIENTAS MANUALES:</t>
  </si>
  <si>
    <t>COSTO DIRECTO</t>
  </si>
  <si>
    <t>UTILIDAD (15% )</t>
  </si>
  <si>
    <t>IGV (18%)</t>
  </si>
  <si>
    <t>PRESUPUESTO TOTAL DEL PROYECTO</t>
  </si>
  <si>
    <t>HERRAMIENTAS MANUALES</t>
  </si>
  <si>
    <t>GASTOS GENERALES (10%)</t>
  </si>
  <si>
    <t>MATERIALES:</t>
  </si>
  <si>
    <t>OBRA: " FABRICACIÓN Y HABILITACIÓN DE CASETA DE DRYWALL PARA VIGILANCIA "</t>
  </si>
  <si>
    <t>DISTRIBUIDORA DEREK PPTO CV N°01-2025</t>
  </si>
  <si>
    <t>LA ROSA TORO SANCHEZ ROY KENNER</t>
  </si>
  <si>
    <t>02 días hábiles</t>
  </si>
  <si>
    <t>CAJA OCTOGONAL PVC</t>
  </si>
  <si>
    <t>TOMACORRIENTE TRIPLE SOBREPONER HOME LIGHT</t>
  </si>
  <si>
    <t>TOMA TRIPLE UNIV. VISIBLE BLANCO OVALADO</t>
  </si>
  <si>
    <t>SOCKET E-27 OVAL BLANCO VETO</t>
  </si>
  <si>
    <t>INTERRUPTOR SIMPLE</t>
  </si>
  <si>
    <t>MTR</t>
  </si>
  <si>
    <t>SUPERBOARD RECTA 1.22 x 2.44 X 6 mm ETERNIT</t>
  </si>
  <si>
    <t>PARANTE METALICO 64 X 38 X 0.45 X 3.00 M (RECUPERADO)</t>
  </si>
  <si>
    <t>TORNILLO AUTOPERFORANTE C/HEXGONAL 10X 1" IMPORTADO</t>
  </si>
  <si>
    <t>CABLE THW-90 12 AWG AZUL|INDECO</t>
  </si>
  <si>
    <t>DISCO DE CORTE PARA FIERRO 4"</t>
  </si>
  <si>
    <t>CINTA AISLANTE - 3M</t>
  </si>
  <si>
    <t>LUIS CERNA</t>
  </si>
  <si>
    <t>HENRY PEREZ</t>
  </si>
  <si>
    <t xml:space="preserve">   NOMBRE DE PROYECTO: FABRICACIÓN Y HABILITACIÓN DE CASETA DE DRYWALL                             PARA VIGILANCIA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</si>
</sst>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.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6"/>
      <color rgb="FF92D050"/>
      <name val="Century Gothic"/>
      <family val="2"/>
    </font>
    <font>
      <b/>
      <sz val="20"/>
      <color rgb="FF92D05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 indent="1"/>
    </xf>
    <xf numFmtId="164" fontId="3" fillId="0" borderId="0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65" fontId="0" fillId="0" borderId="0" xfId="0" applyNumberFormat="1"/>
    <xf numFmtId="2" fontId="9" fillId="0" borderId="1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8"/>
    </xf>
    <xf numFmtId="164" fontId="9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right" vertical="center" indent="1"/>
    </xf>
    <xf numFmtId="0" fontId="3" fillId="0" borderId="11" xfId="0" applyFont="1" applyBorder="1" applyAlignment="1">
      <alignment horizontal="right" vertical="center" indent="1"/>
    </xf>
    <xf numFmtId="0" fontId="3" fillId="0" borderId="12" xfId="0" applyFont="1" applyBorder="1" applyAlignment="1">
      <alignment horizontal="right" vertical="center" indent="1"/>
    </xf>
    <xf numFmtId="0" fontId="9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right" vertical="center" indent="1"/>
    </xf>
    <xf numFmtId="0" fontId="3" fillId="0" borderId="6" xfId="0" applyFont="1" applyBorder="1" applyAlignment="1">
      <alignment horizontal="right" vertical="center" inden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1</xdr:col>
      <xdr:colOff>571500</xdr:colOff>
      <xdr:row>1</xdr:row>
      <xdr:rowOff>28576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498D59-B0DA-49D4-A46A-BD3ED9F1EEE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1" r="2601" b="4306"/>
        <a:stretch/>
      </xdr:blipFill>
      <xdr:spPr bwMode="auto">
        <a:xfrm>
          <a:off x="57150" y="0"/>
          <a:ext cx="1323975" cy="5334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0</xdr:col>
      <xdr:colOff>95250</xdr:colOff>
      <xdr:row>30</xdr:row>
      <xdr:rowOff>104775</xdr:rowOff>
    </xdr:from>
    <xdr:ext cx="1323975" cy="533401"/>
    <xdr:pic>
      <xdr:nvPicPr>
        <xdr:cNvPr id="6" name="Imagen 5">
          <a:extLst>
            <a:ext uri="{FF2B5EF4-FFF2-40B4-BE49-F238E27FC236}">
              <a16:creationId xmlns:a16="http://schemas.microsoft.com/office/drawing/2014/main" id="{61CF412B-4A57-4205-B072-B7CFFA71F65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1" r="2601" b="4306"/>
        <a:stretch/>
      </xdr:blipFill>
      <xdr:spPr bwMode="auto">
        <a:xfrm>
          <a:off x="95250" y="14230350"/>
          <a:ext cx="1323975" cy="5334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B7E6-9E7E-459A-8150-2D254732DB79}">
  <dimension ref="A1:N57"/>
  <sheetViews>
    <sheetView tabSelected="1" view="pageLayout" topLeftCell="A7" zoomScaleNormal="100" workbookViewId="0">
      <selection activeCell="A13" sqref="A13"/>
    </sheetView>
  </sheetViews>
  <sheetFormatPr baseColWidth="10" defaultColWidth="11.42578125" defaultRowHeight="15" x14ac:dyDescent="0.25"/>
  <cols>
    <col min="1" max="1" width="11.42578125" customWidth="1"/>
    <col min="2" max="2" width="9.28515625" customWidth="1"/>
    <col min="3" max="3" width="12.42578125" customWidth="1"/>
    <col min="4" max="4" width="11.140625" customWidth="1"/>
    <col min="5" max="5" width="10.42578125" customWidth="1"/>
    <col min="6" max="8" width="13.140625" customWidth="1"/>
    <col min="9" max="9" width="12.28515625" customWidth="1"/>
  </cols>
  <sheetData>
    <row r="1" spans="1:14" ht="39.75" customHeight="1" x14ac:dyDescent="0.25">
      <c r="A1" s="1"/>
      <c r="B1" s="24" t="s">
        <v>23</v>
      </c>
      <c r="C1" s="24"/>
      <c r="D1" s="24"/>
      <c r="E1" s="24"/>
      <c r="F1" s="24"/>
      <c r="G1" s="24"/>
      <c r="H1" s="24"/>
    </row>
    <row r="2" spans="1:14" ht="23.25" customHeight="1" x14ac:dyDescent="0.25">
      <c r="A2" s="1"/>
    </row>
    <row r="3" spans="1:14" ht="27.75" customHeight="1" x14ac:dyDescent="0.25">
      <c r="A3" s="41" t="s">
        <v>0</v>
      </c>
      <c r="B3" s="41"/>
      <c r="C3" s="41"/>
      <c r="D3" s="41"/>
      <c r="E3" s="41"/>
      <c r="F3" s="41"/>
      <c r="G3" s="41"/>
      <c r="H3" s="41"/>
    </row>
    <row r="4" spans="1:14" ht="11.25" customHeight="1" x14ac:dyDescent="0.25">
      <c r="A4" s="6"/>
      <c r="B4" s="6"/>
      <c r="C4" s="6"/>
      <c r="D4" s="6"/>
      <c r="E4" s="6"/>
      <c r="F4" s="6"/>
      <c r="G4" s="6"/>
      <c r="H4" s="6"/>
    </row>
    <row r="5" spans="1:14" ht="28.5" customHeight="1" x14ac:dyDescent="0.25">
      <c r="A5" s="41" t="s">
        <v>24</v>
      </c>
      <c r="B5" s="41"/>
      <c r="C5" s="41"/>
      <c r="D5" s="41"/>
      <c r="E5" s="41"/>
      <c r="F5" s="41"/>
      <c r="G5" s="41"/>
      <c r="H5" s="41"/>
    </row>
    <row r="6" spans="1:14" ht="25.5" customHeight="1" x14ac:dyDescent="0.25">
      <c r="N6" s="20"/>
    </row>
    <row r="7" spans="1:14" ht="20.25" customHeight="1" x14ac:dyDescent="0.25">
      <c r="A7" s="7" t="s">
        <v>1</v>
      </c>
      <c r="C7" s="4" t="s">
        <v>25</v>
      </c>
      <c r="D7" s="4"/>
      <c r="F7" s="43" t="s">
        <v>2</v>
      </c>
      <c r="G7" s="43"/>
      <c r="H7" s="4" t="s">
        <v>3</v>
      </c>
    </row>
    <row r="9" spans="1:14" ht="20.25" customHeight="1" x14ac:dyDescent="0.25">
      <c r="A9" s="7" t="s">
        <v>4</v>
      </c>
      <c r="C9" s="42">
        <v>10703165775</v>
      </c>
      <c r="D9" s="42"/>
      <c r="E9" s="42"/>
      <c r="F9" s="43" t="s">
        <v>5</v>
      </c>
      <c r="G9" s="43"/>
      <c r="H9" s="4" t="s">
        <v>26</v>
      </c>
    </row>
    <row r="10" spans="1:14" ht="19.5" customHeight="1" x14ac:dyDescent="0.25"/>
    <row r="11" spans="1:14" ht="24" customHeight="1" x14ac:dyDescent="0.25">
      <c r="A11" s="44" t="s">
        <v>41</v>
      </c>
      <c r="B11" s="44"/>
      <c r="C11" s="44"/>
      <c r="D11" s="44"/>
      <c r="E11" s="44"/>
      <c r="F11" s="44"/>
      <c r="G11" s="44"/>
      <c r="H11" s="44"/>
    </row>
    <row r="12" spans="1:14" ht="24" customHeight="1" x14ac:dyDescent="0.25">
      <c r="A12" s="44"/>
      <c r="B12" s="44"/>
      <c r="C12" s="44"/>
      <c r="D12" s="44"/>
      <c r="E12" s="44"/>
      <c r="F12" s="44"/>
      <c r="G12" s="44"/>
      <c r="H12" s="44"/>
    </row>
    <row r="14" spans="1:14" ht="22.5" customHeight="1" x14ac:dyDescent="0.25">
      <c r="A14" s="40" t="s">
        <v>22</v>
      </c>
      <c r="B14" s="40"/>
      <c r="C14" s="40"/>
      <c r="D14" s="40"/>
      <c r="E14" s="40"/>
      <c r="F14" s="40"/>
      <c r="G14" s="40"/>
      <c r="H14" s="40"/>
    </row>
    <row r="15" spans="1:14" ht="14.1" customHeight="1" thickBot="1" x14ac:dyDescent="0.3">
      <c r="A15" s="5"/>
      <c r="B15" s="5"/>
      <c r="C15" s="5"/>
      <c r="D15" s="5"/>
      <c r="E15" s="5"/>
      <c r="F15" s="5"/>
      <c r="G15" s="5"/>
      <c r="H15" s="5"/>
    </row>
    <row r="16" spans="1:14" ht="30" customHeight="1" x14ac:dyDescent="0.25">
      <c r="A16" s="36" t="s">
        <v>6</v>
      </c>
      <c r="B16" s="37"/>
      <c r="C16" s="37"/>
      <c r="D16" s="37"/>
      <c r="E16" s="11" t="s">
        <v>7</v>
      </c>
      <c r="F16" s="11" t="s">
        <v>8</v>
      </c>
      <c r="G16" s="11" t="s">
        <v>9</v>
      </c>
      <c r="H16" s="12" t="s">
        <v>10</v>
      </c>
    </row>
    <row r="17" spans="1:8" ht="33.950000000000003" customHeight="1" x14ac:dyDescent="0.25">
      <c r="A17" s="22" t="s">
        <v>33</v>
      </c>
      <c r="B17" s="23"/>
      <c r="C17" s="23"/>
      <c r="D17" s="23"/>
      <c r="E17" s="19">
        <v>6</v>
      </c>
      <c r="F17" s="19" t="s">
        <v>11</v>
      </c>
      <c r="G17" s="21">
        <v>65.593000000000004</v>
      </c>
      <c r="H17" s="15">
        <f>E17*G17</f>
        <v>393.55799999999999</v>
      </c>
    </row>
    <row r="18" spans="1:8" ht="33.950000000000003" customHeight="1" x14ac:dyDescent="0.25">
      <c r="A18" s="22" t="s">
        <v>34</v>
      </c>
      <c r="B18" s="23"/>
      <c r="C18" s="23"/>
      <c r="D18" s="23"/>
      <c r="E18" s="19">
        <v>8</v>
      </c>
      <c r="F18" s="19" t="s">
        <v>11</v>
      </c>
      <c r="G18" s="19">
        <f>8.983*0.4</f>
        <v>3.5932000000000004</v>
      </c>
      <c r="H18" s="15">
        <f t="shared" ref="H18:H27" si="0">E18*G18</f>
        <v>28.745600000000003</v>
      </c>
    </row>
    <row r="19" spans="1:8" ht="33.950000000000003" customHeight="1" x14ac:dyDescent="0.25">
      <c r="A19" s="22" t="s">
        <v>27</v>
      </c>
      <c r="B19" s="23"/>
      <c r="C19" s="23"/>
      <c r="D19" s="23"/>
      <c r="E19" s="19">
        <v>4</v>
      </c>
      <c r="F19" s="19" t="s">
        <v>11</v>
      </c>
      <c r="G19" s="21">
        <f>0.8/1.18</f>
        <v>0.67796610169491534</v>
      </c>
      <c r="H19" s="15">
        <f t="shared" si="0"/>
        <v>2.7118644067796613</v>
      </c>
    </row>
    <row r="20" spans="1:8" ht="33.950000000000003" customHeight="1" x14ac:dyDescent="0.25">
      <c r="A20" s="22" t="s">
        <v>28</v>
      </c>
      <c r="B20" s="23"/>
      <c r="C20" s="23"/>
      <c r="D20" s="23"/>
      <c r="E20" s="19">
        <v>1</v>
      </c>
      <c r="F20" s="19" t="s">
        <v>11</v>
      </c>
      <c r="G20" s="21">
        <f>6/1.18</f>
        <v>5.0847457627118651</v>
      </c>
      <c r="H20" s="15">
        <f t="shared" si="0"/>
        <v>5.0847457627118651</v>
      </c>
    </row>
    <row r="21" spans="1:8" ht="33.950000000000003" customHeight="1" x14ac:dyDescent="0.25">
      <c r="A21" s="22" t="s">
        <v>29</v>
      </c>
      <c r="B21" s="23"/>
      <c r="C21" s="23"/>
      <c r="D21" s="23"/>
      <c r="E21" s="19">
        <v>1</v>
      </c>
      <c r="F21" s="19" t="s">
        <v>11</v>
      </c>
      <c r="G21" s="21">
        <f>13.5/1.18</f>
        <v>11.440677966101696</v>
      </c>
      <c r="H21" s="15">
        <f t="shared" si="0"/>
        <v>11.440677966101696</v>
      </c>
    </row>
    <row r="22" spans="1:8" ht="33.950000000000003" customHeight="1" x14ac:dyDescent="0.25">
      <c r="A22" s="22" t="s">
        <v>30</v>
      </c>
      <c r="B22" s="23"/>
      <c r="C22" s="23"/>
      <c r="D22" s="23"/>
      <c r="E22" s="19">
        <v>2</v>
      </c>
      <c r="F22" s="19" t="s">
        <v>11</v>
      </c>
      <c r="G22" s="21">
        <f>8/1.18</f>
        <v>6.7796610169491531</v>
      </c>
      <c r="H22" s="15">
        <f t="shared" si="0"/>
        <v>13.559322033898306</v>
      </c>
    </row>
    <row r="23" spans="1:8" ht="33.950000000000003" customHeight="1" x14ac:dyDescent="0.25">
      <c r="A23" s="22" t="s">
        <v>31</v>
      </c>
      <c r="B23" s="23"/>
      <c r="C23" s="23"/>
      <c r="D23" s="23"/>
      <c r="E23" s="19">
        <v>1</v>
      </c>
      <c r="F23" s="19" t="s">
        <v>11</v>
      </c>
      <c r="G23" s="21">
        <f>9.9/1.18</f>
        <v>8.3898305084745779</v>
      </c>
      <c r="H23" s="15">
        <f t="shared" si="0"/>
        <v>8.3898305084745779</v>
      </c>
    </row>
    <row r="24" spans="1:8" ht="33.950000000000003" customHeight="1" x14ac:dyDescent="0.25">
      <c r="A24" s="22" t="s">
        <v>35</v>
      </c>
      <c r="B24" s="23"/>
      <c r="C24" s="23"/>
      <c r="D24" s="23"/>
      <c r="E24" s="19">
        <v>200</v>
      </c>
      <c r="F24" s="19" t="s">
        <v>11</v>
      </c>
      <c r="G24" s="21">
        <v>6.6000000000000003E-2</v>
      </c>
      <c r="H24" s="15">
        <f t="shared" si="0"/>
        <v>13.200000000000001</v>
      </c>
    </row>
    <row r="25" spans="1:8" ht="33.950000000000003" customHeight="1" x14ac:dyDescent="0.25">
      <c r="A25" s="22" t="s">
        <v>36</v>
      </c>
      <c r="B25" s="23"/>
      <c r="C25" s="23"/>
      <c r="D25" s="23"/>
      <c r="E25" s="14">
        <v>100</v>
      </c>
      <c r="F25" s="13" t="s">
        <v>32</v>
      </c>
      <c r="G25" s="14">
        <v>2.6269999999999998</v>
      </c>
      <c r="H25" s="15">
        <f t="shared" si="0"/>
        <v>262.7</v>
      </c>
    </row>
    <row r="26" spans="1:8" ht="33.950000000000003" customHeight="1" x14ac:dyDescent="0.25">
      <c r="A26" s="22" t="s">
        <v>37</v>
      </c>
      <c r="B26" s="23"/>
      <c r="C26" s="23"/>
      <c r="D26" s="23"/>
      <c r="E26" s="14">
        <v>3</v>
      </c>
      <c r="F26" s="13" t="s">
        <v>11</v>
      </c>
      <c r="G26" s="14">
        <v>4.492</v>
      </c>
      <c r="H26" s="15">
        <f t="shared" si="0"/>
        <v>13.475999999999999</v>
      </c>
    </row>
    <row r="27" spans="1:8" ht="33.950000000000003" customHeight="1" x14ac:dyDescent="0.25">
      <c r="A27" s="22" t="s">
        <v>38</v>
      </c>
      <c r="B27" s="23"/>
      <c r="C27" s="23"/>
      <c r="D27" s="23"/>
      <c r="E27" s="14">
        <v>1</v>
      </c>
      <c r="F27" s="13" t="s">
        <v>11</v>
      </c>
      <c r="G27" s="14">
        <v>9.6609999999999996</v>
      </c>
      <c r="H27" s="15">
        <f t="shared" si="0"/>
        <v>9.6609999999999996</v>
      </c>
    </row>
    <row r="28" spans="1:8" ht="30" customHeight="1" thickBot="1" x14ac:dyDescent="0.3">
      <c r="A28" s="34" t="s">
        <v>12</v>
      </c>
      <c r="B28" s="35"/>
      <c r="C28" s="35"/>
      <c r="D28" s="35"/>
      <c r="E28" s="35"/>
      <c r="F28" s="35"/>
      <c r="G28" s="35"/>
      <c r="H28" s="16">
        <f>SUM(H17:H27)</f>
        <v>762.52704067796606</v>
      </c>
    </row>
    <row r="29" spans="1:8" ht="14.1" customHeight="1" x14ac:dyDescent="0.25">
      <c r="A29" s="8"/>
      <c r="B29" s="8"/>
      <c r="C29" s="8"/>
      <c r="D29" s="3"/>
      <c r="E29" s="3"/>
      <c r="F29" s="3"/>
      <c r="G29" s="3"/>
    </row>
    <row r="30" spans="1:8" ht="14.1" customHeight="1" x14ac:dyDescent="0.25">
      <c r="A30" s="8"/>
      <c r="B30" s="8"/>
      <c r="C30" s="8"/>
      <c r="D30" s="3"/>
      <c r="E30" s="3"/>
      <c r="F30" s="3"/>
      <c r="G30" s="3"/>
    </row>
    <row r="31" spans="1:8" ht="56.1" customHeight="1" x14ac:dyDescent="0.25">
      <c r="A31" s="17"/>
      <c r="B31" s="24" t="s">
        <v>23</v>
      </c>
      <c r="C31" s="24"/>
      <c r="D31" s="24"/>
      <c r="E31" s="24"/>
      <c r="F31" s="24"/>
      <c r="G31" s="24"/>
      <c r="H31" s="24"/>
    </row>
    <row r="32" spans="1:8" ht="15" customHeight="1" x14ac:dyDescent="0.25">
      <c r="A32" s="8"/>
      <c r="B32" s="8"/>
      <c r="C32" s="8"/>
      <c r="D32" s="3"/>
      <c r="E32" s="3"/>
      <c r="F32" s="3"/>
      <c r="G32" s="3"/>
    </row>
    <row r="33" spans="1:8" ht="22.35" customHeight="1" x14ac:dyDescent="0.25">
      <c r="A33" s="40" t="s">
        <v>13</v>
      </c>
      <c r="B33" s="40"/>
      <c r="C33" s="40"/>
      <c r="D33" s="40"/>
      <c r="E33" s="40"/>
      <c r="F33" s="40"/>
      <c r="G33" s="40"/>
      <c r="H33" s="40"/>
    </row>
    <row r="34" spans="1:8" ht="14.1" customHeight="1" thickBot="1" x14ac:dyDescent="0.3"/>
    <row r="35" spans="1:8" ht="30" customHeight="1" x14ac:dyDescent="0.25">
      <c r="A35" s="36" t="s">
        <v>6</v>
      </c>
      <c r="B35" s="37"/>
      <c r="C35" s="37"/>
      <c r="D35" s="37"/>
      <c r="E35" s="11" t="s">
        <v>7</v>
      </c>
      <c r="F35" s="11" t="s">
        <v>8</v>
      </c>
      <c r="G35" s="11" t="s">
        <v>9</v>
      </c>
      <c r="H35" s="12" t="s">
        <v>10</v>
      </c>
    </row>
    <row r="36" spans="1:8" ht="25.5" customHeight="1" x14ac:dyDescent="0.25">
      <c r="A36" s="38" t="s">
        <v>39</v>
      </c>
      <c r="B36" s="39"/>
      <c r="C36" s="39"/>
      <c r="D36" s="39"/>
      <c r="E36" s="19">
        <v>2</v>
      </c>
      <c r="F36" s="13" t="s">
        <v>14</v>
      </c>
      <c r="G36" s="14">
        <v>130</v>
      </c>
      <c r="H36" s="15">
        <f>+E36*G36</f>
        <v>260</v>
      </c>
    </row>
    <row r="37" spans="1:8" ht="25.5" customHeight="1" x14ac:dyDescent="0.25">
      <c r="A37" s="38" t="s">
        <v>40</v>
      </c>
      <c r="B37" s="39"/>
      <c r="C37" s="39"/>
      <c r="D37" s="39"/>
      <c r="E37" s="19">
        <v>2</v>
      </c>
      <c r="F37" s="13" t="s">
        <v>14</v>
      </c>
      <c r="G37" s="14">
        <v>130</v>
      </c>
      <c r="H37" s="15">
        <f>+E37*G37</f>
        <v>260</v>
      </c>
    </row>
    <row r="38" spans="1:8" ht="30" customHeight="1" thickBot="1" x14ac:dyDescent="0.3">
      <c r="A38" s="34" t="s">
        <v>12</v>
      </c>
      <c r="B38" s="35"/>
      <c r="C38" s="35"/>
      <c r="D38" s="35"/>
      <c r="E38" s="35"/>
      <c r="F38" s="35"/>
      <c r="G38" s="35"/>
      <c r="H38" s="16">
        <f>SUM(H36:H37)</f>
        <v>520</v>
      </c>
    </row>
    <row r="39" spans="1:8" ht="13.5" customHeight="1" x14ac:dyDescent="0.25">
      <c r="A39" s="17"/>
      <c r="B39" s="17"/>
      <c r="C39" s="17"/>
      <c r="D39" s="17"/>
      <c r="E39" s="17"/>
      <c r="F39" s="17"/>
      <c r="G39" s="17"/>
      <c r="H39" s="18"/>
    </row>
    <row r="40" spans="1:8" ht="30" customHeight="1" x14ac:dyDescent="0.25">
      <c r="A40" s="40" t="s">
        <v>15</v>
      </c>
      <c r="B40" s="40"/>
      <c r="C40" s="40"/>
      <c r="D40" s="40"/>
      <c r="E40" s="40"/>
      <c r="F40" s="40"/>
      <c r="G40" s="40"/>
      <c r="H40" s="40"/>
    </row>
    <row r="41" spans="1:8" ht="13.5" customHeight="1" thickBot="1" x14ac:dyDescent="0.3">
      <c r="A41" s="2"/>
      <c r="B41" s="2"/>
      <c r="C41" s="2"/>
      <c r="D41" s="2"/>
      <c r="E41" s="2"/>
      <c r="F41" s="2"/>
      <c r="G41" s="2"/>
      <c r="H41" s="2"/>
    </row>
    <row r="42" spans="1:8" ht="30" customHeight="1" x14ac:dyDescent="0.25">
      <c r="A42" s="36" t="s">
        <v>6</v>
      </c>
      <c r="B42" s="37"/>
      <c r="C42" s="37"/>
      <c r="D42" s="37"/>
      <c r="E42" s="11" t="s">
        <v>7</v>
      </c>
      <c r="F42" s="11" t="s">
        <v>8</v>
      </c>
      <c r="G42" s="11" t="s">
        <v>9</v>
      </c>
      <c r="H42" s="12" t="s">
        <v>10</v>
      </c>
    </row>
    <row r="43" spans="1:8" ht="30" customHeight="1" x14ac:dyDescent="0.25">
      <c r="A43" s="38" t="s">
        <v>20</v>
      </c>
      <c r="B43" s="39"/>
      <c r="C43" s="39"/>
      <c r="D43" s="39"/>
      <c r="E43" s="13">
        <v>2</v>
      </c>
      <c r="F43" s="13" t="s">
        <v>14</v>
      </c>
      <c r="G43" s="14">
        <f>H43/E43</f>
        <v>26</v>
      </c>
      <c r="H43" s="15">
        <f>H38*0.1</f>
        <v>52</v>
      </c>
    </row>
    <row r="44" spans="1:8" ht="30" customHeight="1" thickBot="1" x14ac:dyDescent="0.3">
      <c r="A44" s="30" t="s">
        <v>12</v>
      </c>
      <c r="B44" s="31"/>
      <c r="C44" s="31"/>
      <c r="D44" s="31"/>
      <c r="E44" s="31"/>
      <c r="F44" s="31"/>
      <c r="G44" s="32"/>
      <c r="H44" s="16">
        <f>+H43</f>
        <v>52</v>
      </c>
    </row>
    <row r="46" spans="1:8" ht="11.25" customHeight="1" x14ac:dyDescent="0.25"/>
    <row r="47" spans="1:8" ht="25.5" customHeight="1" x14ac:dyDescent="0.25">
      <c r="A47" s="28" t="s">
        <v>16</v>
      </c>
      <c r="B47" s="28"/>
      <c r="C47" s="28"/>
      <c r="D47" s="28"/>
      <c r="E47" s="9"/>
      <c r="F47" s="9"/>
      <c r="G47" s="26">
        <f>+H38+H44+H28</f>
        <v>1334.5270406779659</v>
      </c>
      <c r="H47" s="26"/>
    </row>
    <row r="48" spans="1:8" ht="11.25" customHeight="1" x14ac:dyDescent="0.25"/>
    <row r="49" spans="1:8" ht="25.5" customHeight="1" x14ac:dyDescent="0.25">
      <c r="A49" s="29" t="s">
        <v>21</v>
      </c>
      <c r="B49" s="29"/>
      <c r="C49" s="29"/>
      <c r="D49" s="29"/>
      <c r="E49" s="9"/>
      <c r="F49" s="9"/>
      <c r="G49" s="25">
        <f>G47*0.1</f>
        <v>133.45270406779659</v>
      </c>
      <c r="H49" s="33"/>
    </row>
    <row r="50" spans="1:8" ht="11.25" customHeight="1" x14ac:dyDescent="0.25"/>
    <row r="51" spans="1:8" ht="25.5" customHeight="1" x14ac:dyDescent="0.25">
      <c r="A51" s="29" t="s">
        <v>17</v>
      </c>
      <c r="B51" s="29"/>
      <c r="C51" s="29"/>
      <c r="D51" s="29"/>
      <c r="E51" s="9"/>
      <c r="F51" s="9"/>
      <c r="G51" s="25">
        <f>+G47*0.15</f>
        <v>200.1790561016949</v>
      </c>
      <c r="H51" s="25"/>
    </row>
    <row r="52" spans="1:8" ht="11.25" customHeight="1" x14ac:dyDescent="0.25"/>
    <row r="53" spans="1:8" ht="25.5" customHeight="1" x14ac:dyDescent="0.25">
      <c r="A53" s="28" t="s">
        <v>12</v>
      </c>
      <c r="B53" s="28"/>
      <c r="C53" s="28"/>
      <c r="D53" s="28"/>
      <c r="E53" s="10"/>
      <c r="F53" s="10"/>
      <c r="G53" s="26">
        <f>+G47+G49+G51</f>
        <v>1668.1588008474573</v>
      </c>
      <c r="H53" s="27"/>
    </row>
    <row r="55" spans="1:8" ht="25.5" customHeight="1" x14ac:dyDescent="0.25">
      <c r="A55" s="29" t="s">
        <v>18</v>
      </c>
      <c r="B55" s="29"/>
      <c r="C55" s="29"/>
      <c r="D55" s="29"/>
      <c r="E55" s="10"/>
      <c r="F55" s="10"/>
      <c r="G55" s="25">
        <f>+G53*0.18</f>
        <v>300.2685841525423</v>
      </c>
      <c r="H55" s="25"/>
    </row>
    <row r="57" spans="1:8" ht="25.5" customHeight="1" x14ac:dyDescent="0.25">
      <c r="A57" s="28" t="s">
        <v>19</v>
      </c>
      <c r="B57" s="28"/>
      <c r="C57" s="28"/>
      <c r="D57" s="28"/>
      <c r="G57" s="26">
        <f>+G53+G55</f>
        <v>1968.4273849999995</v>
      </c>
      <c r="H57" s="27"/>
    </row>
  </sheetData>
  <mergeCells count="43">
    <mergeCell ref="A33:H33"/>
    <mergeCell ref="A16:D16"/>
    <mergeCell ref="B1:H1"/>
    <mergeCell ref="A3:H3"/>
    <mergeCell ref="A5:H5"/>
    <mergeCell ref="C9:E9"/>
    <mergeCell ref="A14:H14"/>
    <mergeCell ref="F7:G7"/>
    <mergeCell ref="F9:G9"/>
    <mergeCell ref="A11:H12"/>
    <mergeCell ref="A38:G38"/>
    <mergeCell ref="A35:D35"/>
    <mergeCell ref="A37:D37"/>
    <mergeCell ref="A43:D43"/>
    <mergeCell ref="A42:D42"/>
    <mergeCell ref="A40:H40"/>
    <mergeCell ref="A36:D36"/>
    <mergeCell ref="A44:G44"/>
    <mergeCell ref="G47:H47"/>
    <mergeCell ref="G49:H49"/>
    <mergeCell ref="A47:D47"/>
    <mergeCell ref="A49:D49"/>
    <mergeCell ref="G51:H51"/>
    <mergeCell ref="G53:H53"/>
    <mergeCell ref="G55:H55"/>
    <mergeCell ref="A57:D57"/>
    <mergeCell ref="A51:D51"/>
    <mergeCell ref="A53:D53"/>
    <mergeCell ref="A55:D55"/>
    <mergeCell ref="G57:H57"/>
    <mergeCell ref="A22:D22"/>
    <mergeCell ref="A23:D23"/>
    <mergeCell ref="A24:D24"/>
    <mergeCell ref="B31:H31"/>
    <mergeCell ref="A17:D17"/>
    <mergeCell ref="A18:D18"/>
    <mergeCell ref="A19:D19"/>
    <mergeCell ref="A20:D20"/>
    <mergeCell ref="A21:D21"/>
    <mergeCell ref="A25:D25"/>
    <mergeCell ref="A28:G28"/>
    <mergeCell ref="A26:D26"/>
    <mergeCell ref="A27:D27"/>
  </mergeCells>
  <pageMargins left="0.46875" right="0.35416666666666669" top="0.35416666666666669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Soldadura</dc:creator>
  <cp:lastModifiedBy>Soldadura</cp:lastModifiedBy>
  <cp:lastPrinted>2025-10-07T14:44:39Z</cp:lastPrinted>
  <dcterms:created xsi:type="dcterms:W3CDTF">2025-08-21T20:02:00Z</dcterms:created>
  <dcterms:modified xsi:type="dcterms:W3CDTF">2025-10-07T14:45:26Z</dcterms:modified>
</cp:coreProperties>
</file>